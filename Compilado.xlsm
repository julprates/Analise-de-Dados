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C:\Users\jlpsantos\Desktop\Meus Arquivos\Meu projeto\"/>
    </mc:Choice>
  </mc:AlternateContent>
  <xr:revisionPtr revIDLastSave="0" documentId="13_ncr:1_{E294C03E-0781-4744-B742-E34A3CCC74CE}" xr6:coauthVersionLast="47" xr6:coauthVersionMax="47" xr10:uidLastSave="{00000000-0000-0000-0000-000000000000}"/>
  <bookViews>
    <workbookView xWindow="-110" yWindow="-110" windowWidth="19420" windowHeight="10420" xr2:uid="{A95EBF53-0E2D-4E35-99BD-7EF70D9A46CA}"/>
  </bookViews>
  <sheets>
    <sheet name="Painel" sheetId="3" r:id="rId1"/>
    <sheet name="Compilado" sheetId="1" r:id="rId2"/>
    <sheet name="BD" sheetId="2" state="hidden" r:id="rId3"/>
  </sheets>
  <definedNames>
    <definedName name="_xlnm._FilterDatabase" localSheetId="1" hidden="1">Compilado!$A$4:$BY$4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" i="1" l="1"/>
  <c r="C1" i="1"/>
  <c r="C5" i="3"/>
  <c r="C6" i="3"/>
  <c r="C7" i="3"/>
  <c r="C8" i="3"/>
  <c r="C9" i="3"/>
  <c r="C10" i="3"/>
  <c r="C11" i="3"/>
  <c r="C12" i="3"/>
  <c r="C13" i="3"/>
  <c r="C14" i="3"/>
  <c r="C15" i="3"/>
  <c r="C16" i="3"/>
  <c r="C4" i="3"/>
  <c r="I3" i="1" l="1"/>
  <c r="J3" i="1"/>
  <c r="K3" i="1"/>
  <c r="L3" i="1"/>
  <c r="M3" i="1"/>
  <c r="N3" i="1"/>
  <c r="O3" i="1"/>
  <c r="P3" i="1"/>
  <c r="Q3" i="1"/>
  <c r="R3" i="1"/>
  <c r="S3" i="1"/>
  <c r="T3" i="1"/>
  <c r="U3" i="1"/>
  <c r="V3" i="1"/>
  <c r="W3" i="1"/>
  <c r="X3" i="1"/>
  <c r="Y3" i="1"/>
  <c r="Z3" i="1"/>
  <c r="AA3" i="1"/>
  <c r="AB3" i="1"/>
  <c r="AC3" i="1"/>
  <c r="AD3" i="1"/>
  <c r="AE3" i="1"/>
  <c r="AF3" i="1"/>
  <c r="AG3" i="1"/>
  <c r="AH3" i="1"/>
  <c r="AI3" i="1"/>
  <c r="AJ3" i="1"/>
  <c r="AK3" i="1"/>
  <c r="AL3" i="1"/>
  <c r="H3" i="1"/>
</calcChain>
</file>

<file path=xl/sharedStrings.xml><?xml version="1.0" encoding="utf-8"?>
<sst xmlns="http://schemas.openxmlformats.org/spreadsheetml/2006/main" count="106" uniqueCount="69">
  <si>
    <t>Nome</t>
  </si>
  <si>
    <t>Função</t>
  </si>
  <si>
    <t>Horário</t>
  </si>
  <si>
    <t>Qui</t>
  </si>
  <si>
    <t>Sex</t>
  </si>
  <si>
    <t>Sáb</t>
  </si>
  <si>
    <t>Dom</t>
  </si>
  <si>
    <t>Seg</t>
  </si>
  <si>
    <t>Ter</t>
  </si>
  <si>
    <t>Qua</t>
  </si>
  <si>
    <t>Status</t>
  </si>
  <si>
    <t>Ult dia</t>
  </si>
  <si>
    <t>Ult. FR</t>
  </si>
  <si>
    <t>Fim mês</t>
  </si>
  <si>
    <t>Folga 1</t>
  </si>
  <si>
    <t>Folga 2</t>
  </si>
  <si>
    <t>Folga 3</t>
  </si>
  <si>
    <t>Atendida 1</t>
  </si>
  <si>
    <t>Atendida 2</t>
  </si>
  <si>
    <t>Atendida 3</t>
  </si>
  <si>
    <t>FB</t>
  </si>
  <si>
    <t>INSERIDO</t>
  </si>
  <si>
    <t>EP</t>
  </si>
  <si>
    <t>FR</t>
  </si>
  <si>
    <t>FA</t>
  </si>
  <si>
    <t>FC</t>
  </si>
  <si>
    <t>FF</t>
  </si>
  <si>
    <t>C</t>
  </si>
  <si>
    <t>Dom trab.</t>
  </si>
  <si>
    <t>Fer trab</t>
  </si>
  <si>
    <t>Adicional</t>
  </si>
  <si>
    <t>Dom. Desc</t>
  </si>
  <si>
    <t>Folgas totais</t>
  </si>
  <si>
    <t>Mês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</si>
  <si>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</si>
  <si>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</si>
  <si>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</si>
  <si>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</si>
  <si>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</si>
  <si>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</si>
  <si>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</si>
  <si>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</si>
  <si>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</si>
  <si>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</si>
  <si>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</si>
  <si>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</si>
  <si>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Selecione o mês para rodar o compilado:</t>
  </si>
  <si>
    <t>Dias -----&gt;</t>
  </si>
  <si>
    <t>Dia da Semana</t>
  </si>
  <si>
    <t>K</t>
  </si>
  <si>
    <t>EAD</t>
  </si>
  <si>
    <t>Lojas</t>
  </si>
  <si>
    <t>LOJA202</t>
  </si>
  <si>
    <t>LOJA204</t>
  </si>
  <si>
    <t>LOJA206</t>
  </si>
  <si>
    <t>LOJA208</t>
  </si>
  <si>
    <t>LOJA210</t>
  </si>
  <si>
    <t>LOJA212</t>
  </si>
  <si>
    <t>LOJA214</t>
  </si>
  <si>
    <t>LOJA216</t>
  </si>
  <si>
    <t>LOJA218</t>
  </si>
  <si>
    <t>LOJA220</t>
  </si>
  <si>
    <t>LOJA222</t>
  </si>
  <si>
    <t>LOJA224</t>
  </si>
  <si>
    <t>LOJA226</t>
  </si>
  <si>
    <t>Loja</t>
  </si>
  <si>
    <t>Código</t>
  </si>
  <si>
    <t>Setor</t>
  </si>
  <si>
    <t>Turno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</si>
</sst>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h:mm;@"/>
    <numFmt numFmtId="165" formatCode="[$-416]d\-mmm;@"/>
  </numFmts>
  <fonts count="7" x14ac:knownFonts="1">
    <font>
      <sz val="11"/>
      <color theme="1"/>
      <name val="Aptos Narrow"/>
      <family val="2"/>
      <scheme val="minor"/>
    </font>
    <font>
      <b/>
      <sz val="9"/>
      <color theme="1"/>
      <name val="Aptos Narrow"/>
      <family val="2"/>
    </font>
    <font>
      <sz val="8"/>
      <name val="Aptos Narrow"/>
      <family val="2"/>
      <scheme val="minor"/>
    </font>
    <font>
      <sz val="11"/>
      <color rgb="FF000000"/>
      <name val="Aptos Narrow"/>
      <family val="2"/>
    </font>
    <font>
      <u/>
      <sz val="11"/>
      <color theme="1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6" tint="-0.249977111117893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164" fontId="1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1" fillId="0" borderId="1" xfId="0" applyFont="1" applyBorder="1"/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164" fontId="1" fillId="0" borderId="1" xfId="0" applyNumberFormat="1" applyFont="1" applyBorder="1" applyAlignment="1">
      <alignment horizontal="center"/>
    </xf>
    <xf numFmtId="165" fontId="0" fillId="0" borderId="1" xfId="0" applyNumberFormat="1" applyBorder="1" applyAlignment="1">
      <alignment horizontal="center"/>
    </xf>
    <xf numFmtId="14" fontId="1" fillId="0" borderId="1" xfId="0" applyNumberFormat="1" applyFont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4" fillId="0" borderId="0" xfId="0" applyFont="1" applyAlignment="1">
      <alignment horizontal="right"/>
    </xf>
    <xf numFmtId="0" fontId="5" fillId="0" borderId="0" xfId="0" applyFont="1" applyAlignment="1">
      <alignment horizontal="left"/>
    </xf>
    <xf numFmtId="0" fontId="5" fillId="0" borderId="1" xfId="0" applyFont="1" applyBorder="1" applyAlignment="1">
      <alignment horizontal="center"/>
    </xf>
    <xf numFmtId="0" fontId="0" fillId="0" borderId="1" xfId="0" applyBorder="1"/>
    <xf numFmtId="0" fontId="6" fillId="2" borderId="2" xfId="0" applyFont="1" applyFill="1" applyBorder="1" applyAlignment="1">
      <alignment horizontal="center"/>
    </xf>
    <xf numFmtId="0" fontId="6" fillId="2" borderId="3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279400</xdr:colOff>
          <xdr:row>7</xdr:row>
          <xdr:rowOff>165100</xdr:rowOff>
        </xdr:from>
        <xdr:to>
          <xdr:col>5</xdr:col>
          <xdr:colOff>279400</xdr:colOff>
          <xdr:row>10</xdr:row>
          <xdr:rowOff>69850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Salvar Compilado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266700</xdr:colOff>
          <xdr:row>4</xdr:row>
          <xdr:rowOff>184150</xdr:rowOff>
        </xdr:from>
        <xdr:to>
          <xdr:col>5</xdr:col>
          <xdr:colOff>279400</xdr:colOff>
          <xdr:row>7</xdr:row>
          <xdr:rowOff>88900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Rodar Compilado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8F7B3-EDD8-44A6-8888-5F220112C810}">
  <sheetPr codeName="Planilha3"/>
  <dimension ref="A1:I19"/>
  <sheetViews>
    <sheetView showGridLines="0" tabSelected="1" workbookViewId="0">
      <selection activeCell="H10" sqref="H10"/>
    </sheetView>
  </sheetViews>
  <sheetFormatPr defaultColWidth="0" defaultRowHeight="14.5" zeroHeight="1" x14ac:dyDescent="0.35"/>
  <cols>
    <col min="1" max="1" width="12.54296875" customWidth="1"/>
    <col min="2" max="2" width="18.1796875" style="1" customWidth="1"/>
    <col min="3" max="3" width="16.54296875" style="1" customWidth="1"/>
    <col min="4" max="6" width="8.7265625" customWidth="1"/>
    <col min="7" max="7" width="9.54296875" customWidth="1"/>
    <col min="8" max="9" width="8.7265625" customWidth="1"/>
    <col min="10" max="16384" width="8.7265625" hidden="1"/>
  </cols>
  <sheetData>
    <row r="1" spans="2:9" x14ac:dyDescent="0.35"/>
    <row r="2" spans="2:9" ht="15" thickBot="1" x14ac:dyDescent="0.4"/>
    <row r="3" spans="2:9" ht="15" thickBot="1" x14ac:dyDescent="0.4">
      <c r="B3" s="21" t="s">
        <v>51</v>
      </c>
      <c r="C3" s="22" t="s">
        <v>10</v>
      </c>
    </row>
    <row r="4" spans="2:9" x14ac:dyDescent="0.35">
      <c r="B4" s="14" t="s">
        <v>52</v>
      </c>
      <c r="C4" s="14" t="str">
        <f>IFERROR(IF(VLOOKUP(B4,Compilado!A:A,1,0)=B4,"Ok","Pendente"),"Pendente")</f>
        <v>Pendente</v>
      </c>
      <c r="G4" s="17" t="s">
        <v>46</v>
      </c>
      <c r="H4" s="19" t="s">
        <v>34</v>
      </c>
      <c r="I4" s="18">
        <v>2026</v>
      </c>
    </row>
    <row r="5" spans="2:9" x14ac:dyDescent="0.35">
      <c r="B5" s="15" t="s">
        <v>53</v>
      </c>
      <c r="C5" s="15" t="str">
        <f>IFERROR(IF(VLOOKUP(B5,Compilado!A:A,1,0)=B5,"Ok","Pendente"),"Pendente")</f>
        <v>Pendente</v>
      </c>
    </row>
    <row r="6" spans="2:9" x14ac:dyDescent="0.35">
      <c r="B6" s="15" t="s">
        <v>54</v>
      </c>
      <c r="C6" s="15" t="str">
        <f>IFERROR(IF(VLOOKUP(B6,Compilado!A:A,1,0)=B6,"Ok","Pendente"),"Pendente")</f>
        <v>Pendente</v>
      </c>
    </row>
    <row r="7" spans="2:9" x14ac:dyDescent="0.35">
      <c r="B7" s="15" t="s">
        <v>55</v>
      </c>
      <c r="C7" s="15" t="str">
        <f>IFERROR(IF(VLOOKUP(B7,Compilado!A:A,1,0)=B7,"Ok","Pendente"),"Pendente")</f>
        <v>Pendente</v>
      </c>
    </row>
    <row r="8" spans="2:9" x14ac:dyDescent="0.35">
      <c r="B8" s="15" t="s">
        <v>56</v>
      </c>
      <c r="C8" s="15" t="str">
        <f>IFERROR(IF(VLOOKUP(B8,Compilado!A:A,1,0)=B8,"Ok","Pendente"),"Pendente")</f>
        <v>Pendente</v>
      </c>
    </row>
    <row r="9" spans="2:9" x14ac:dyDescent="0.35">
      <c r="B9" s="15" t="s">
        <v>57</v>
      </c>
      <c r="C9" s="15" t="str">
        <f>IFERROR(IF(VLOOKUP(B9,Compilado!A:A,1,0)=B9,"Ok","Pendente"),"Pendente")</f>
        <v>Pendente</v>
      </c>
    </row>
    <row r="10" spans="2:9" x14ac:dyDescent="0.35">
      <c r="B10" s="15" t="s">
        <v>58</v>
      </c>
      <c r="C10" s="15" t="str">
        <f>IFERROR(IF(VLOOKUP(B10,Compilado!A:A,1,0)=B10,"Ok","Pendente"),"Pendente")</f>
        <v>Pendente</v>
      </c>
    </row>
    <row r="11" spans="2:9" x14ac:dyDescent="0.35">
      <c r="B11" s="15" t="s">
        <v>59</v>
      </c>
      <c r="C11" s="15" t="str">
        <f>IFERROR(IF(VLOOKUP(B11,Compilado!A:A,1,0)=B11,"Ok","Pendente"),"Pendente")</f>
        <v>Pendente</v>
      </c>
    </row>
    <row r="12" spans="2:9" x14ac:dyDescent="0.35">
      <c r="B12" s="15" t="s">
        <v>60</v>
      </c>
      <c r="C12" s="15" t="str">
        <f>IFERROR(IF(VLOOKUP(B12,Compilado!A:A,1,0)=B12,"Ok","Pendente"),"Pendente")</f>
        <v>Pendente</v>
      </c>
    </row>
    <row r="13" spans="2:9" x14ac:dyDescent="0.35">
      <c r="B13" s="15" t="s">
        <v>61</v>
      </c>
      <c r="C13" s="15" t="str">
        <f>IFERROR(IF(VLOOKUP(B13,Compilado!A:A,1,0)=B13,"Ok","Pendente"),"Pendente")</f>
        <v>Pendente</v>
      </c>
    </row>
    <row r="14" spans="2:9" x14ac:dyDescent="0.35">
      <c r="B14" s="15" t="s">
        <v>62</v>
      </c>
      <c r="C14" s="15" t="str">
        <f>IFERROR(IF(VLOOKUP(B14,Compilado!A:A,1,0)=B14,"Ok","Pendente"),"Pendente")</f>
        <v>Pendente</v>
      </c>
    </row>
    <row r="15" spans="2:9" x14ac:dyDescent="0.35">
      <c r="B15" s="15" t="s">
        <v>63</v>
      </c>
      <c r="C15" s="15" t="str">
        <f>IFERROR(IF(VLOOKUP(B15,Compilado!A:A,1,0)=B15,"Ok","Pendente"),"Pendente")</f>
        <v>Pendente</v>
      </c>
    </row>
    <row r="16" spans="2:9" ht="15" thickBot="1" x14ac:dyDescent="0.4">
      <c r="B16" s="16" t="s">
        <v>64</v>
      </c>
      <c r="C16" s="16" t="str">
        <f>IFERROR(IF(VLOOKUP(B16,Compilado!A:A,1,0)=B16,"Ok","Pendente"),"Pendente")</f>
        <v>Pendente</v>
      </c>
    </row>
    <row r="17" x14ac:dyDescent="0.35"/>
    <row r="18" x14ac:dyDescent="0.35"/>
    <row r="19" x14ac:dyDescent="0.35"/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alvarArquivo">
                <anchor moveWithCells="1" sizeWithCells="1">
                  <from>
                    <xdr:col>3</xdr:col>
                    <xdr:colOff>279400</xdr:colOff>
                    <xdr:row>7</xdr:row>
                    <xdr:rowOff>165100</xdr:rowOff>
                  </from>
                  <to>
                    <xdr:col>5</xdr:col>
                    <xdr:colOff>279400</xdr:colOff>
                    <xdr:row>10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CompilarArquivos">
                <anchor moveWithCells="1" sizeWithCells="1">
                  <from>
                    <xdr:col>3</xdr:col>
                    <xdr:colOff>266700</xdr:colOff>
                    <xdr:row>4</xdr:row>
                    <xdr:rowOff>184150</xdr:rowOff>
                  </from>
                  <to>
                    <xdr:col>5</xdr:col>
                    <xdr:colOff>279400</xdr:colOff>
                    <xdr:row>7</xdr:row>
                    <xdr:rowOff>88900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B305790-74A3-411C-86B6-4ABCB77ABD42}">
          <x14:formula1>
            <xm:f>BD!$B$3:$B$14</xm:f>
          </x14:formula1>
          <xm:sqref>H4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EA681E-DE9E-4C20-A4B7-B0C3D81A3B7C}">
  <sheetPr codeName="Planilha1"/>
  <dimension ref="A1:BY7"/>
  <sheetViews>
    <sheetView showGridLines="0" workbookViewId="0">
      <selection activeCell="A2" sqref="A2"/>
    </sheetView>
  </sheetViews>
  <sheetFormatPr defaultColWidth="8.7265625" defaultRowHeight="14.5" x14ac:dyDescent="0.35"/>
  <cols>
    <col min="1" max="1" width="6.453125" customWidth="1"/>
    <col min="2" max="2" width="37.26953125" bestFit="1" customWidth="1"/>
    <col min="3" max="3" width="9.81640625" style="2" customWidth="1"/>
    <col min="4" max="4" width="8.7265625" style="1"/>
    <col min="5" max="5" width="15.54296875" style="1" bestFit="1" customWidth="1"/>
    <col min="6" max="6" width="10.453125" style="1" customWidth="1"/>
    <col min="7" max="7" width="10.81640625" style="3" customWidth="1"/>
    <col min="8" max="8" width="10.1796875" style="3" bestFit="1" customWidth="1"/>
    <col min="9" max="39" width="8.7265625" style="3"/>
    <col min="40" max="40" width="8.7265625" style="1"/>
    <col min="41" max="42" width="8.7265625" style="3"/>
    <col min="43" max="43" width="10.1796875" style="4" bestFit="1" customWidth="1"/>
    <col min="44" max="45" width="8.7265625" style="1"/>
    <col min="46" max="48" width="10.1796875" style="4" bestFit="1" customWidth="1"/>
    <col min="49" max="49" width="8.7265625" style="1"/>
    <col min="50" max="52" width="11.81640625" style="1" bestFit="1" customWidth="1"/>
    <col min="53" max="55" width="8.7265625" style="1"/>
    <col min="56" max="56" width="9.1796875"/>
    <col min="57" max="60" width="8.7265625" style="1"/>
    <col min="61" max="61" width="10.453125" style="1" bestFit="1" customWidth="1"/>
    <col min="62" max="64" width="8.7265625" style="1"/>
    <col min="65" max="65" width="8.453125" style="1" customWidth="1"/>
    <col min="66" max="66" width="7.54296875" style="1" bestFit="1" customWidth="1"/>
    <col min="67" max="67" width="8" customWidth="1"/>
    <col min="68" max="70" width="8.54296875" style="1" customWidth="1"/>
    <col min="71" max="74" width="8.7265625" style="1"/>
    <col min="75" max="77" width="9.1796875" customWidth="1"/>
    <col min="78" max="16384" width="8.7265625" style="1"/>
  </cols>
  <sheetData>
    <row r="1" spans="1:77" x14ac:dyDescent="0.35">
      <c r="B1" s="7"/>
      <c r="C1" t="str">
        <f>Painel!H4</f>
        <v>Janeiro</v>
      </c>
      <c r="D1" s="1">
        <f>Painel!I4</f>
        <v>2026</v>
      </c>
    </row>
    <row r="3" spans="1:77" x14ac:dyDescent="0.35">
      <c r="H3" s="12">
        <f>DATE($D$1,VLOOKUP($C$1,BD!$B$3:$C$14,2,0),BD!I1)</f>
        <v>46023</v>
      </c>
      <c r="I3" s="12">
        <f>DATE($D$1,VLOOKUP($C$1,BD!$B$3:$C$14,2,0),BD!J1)</f>
        <v>46024</v>
      </c>
      <c r="J3" s="12">
        <f>DATE($D$1,VLOOKUP($C$1,BD!$B$3:$C$14,2,0),BD!K1)</f>
        <v>46025</v>
      </c>
      <c r="K3" s="12">
        <f>DATE($D$1,VLOOKUP($C$1,BD!$B$3:$C$14,2,0),BD!L1)</f>
        <v>46026</v>
      </c>
      <c r="L3" s="12">
        <f>DATE($D$1,VLOOKUP($C$1,BD!$B$3:$C$14,2,0),BD!M1)</f>
        <v>46027</v>
      </c>
      <c r="M3" s="12">
        <f>DATE($D$1,VLOOKUP($C$1,BD!$B$3:$C$14,2,0),BD!N1)</f>
        <v>46028</v>
      </c>
      <c r="N3" s="12">
        <f>DATE($D$1,VLOOKUP($C$1,BD!$B$3:$C$14,2,0),BD!O1)</f>
        <v>46029</v>
      </c>
      <c r="O3" s="12">
        <f>DATE($D$1,VLOOKUP($C$1,BD!$B$3:$C$14,2,0),BD!P1)</f>
        <v>46030</v>
      </c>
      <c r="P3" s="12">
        <f>DATE($D$1,VLOOKUP($C$1,BD!$B$3:$C$14,2,0),BD!Q1)</f>
        <v>46031</v>
      </c>
      <c r="Q3" s="12">
        <f>DATE($D$1,VLOOKUP($C$1,BD!$B$3:$C$14,2,0),BD!R1)</f>
        <v>46032</v>
      </c>
      <c r="R3" s="12">
        <f>DATE($D$1,VLOOKUP($C$1,BD!$B$3:$C$14,2,0),BD!S1)</f>
        <v>46033</v>
      </c>
      <c r="S3" s="12">
        <f>DATE($D$1,VLOOKUP($C$1,BD!$B$3:$C$14,2,0),BD!T1)</f>
        <v>46034</v>
      </c>
      <c r="T3" s="12">
        <f>DATE($D$1,VLOOKUP($C$1,BD!$B$3:$C$14,2,0),BD!U1)</f>
        <v>46035</v>
      </c>
      <c r="U3" s="12">
        <f>DATE($D$1,VLOOKUP($C$1,BD!$B$3:$C$14,2,0),BD!V1)</f>
        <v>46036</v>
      </c>
      <c r="V3" s="12">
        <f>DATE($D$1,VLOOKUP($C$1,BD!$B$3:$C$14,2,0),BD!W1)</f>
        <v>46037</v>
      </c>
      <c r="W3" s="12">
        <f>DATE($D$1,VLOOKUP($C$1,BD!$B$3:$C$14,2,0),BD!X1)</f>
        <v>46038</v>
      </c>
      <c r="X3" s="12">
        <f>DATE($D$1,VLOOKUP($C$1,BD!$B$3:$C$14,2,0),BD!Y1)</f>
        <v>46039</v>
      </c>
      <c r="Y3" s="12">
        <f>DATE($D$1,VLOOKUP($C$1,BD!$B$3:$C$14,2,0),BD!Z1)</f>
        <v>46040</v>
      </c>
      <c r="Z3" s="12">
        <f>DATE($D$1,VLOOKUP($C$1,BD!$B$3:$C$14,2,0),BD!AA1)</f>
        <v>46041</v>
      </c>
      <c r="AA3" s="12">
        <f>DATE($D$1,VLOOKUP($C$1,BD!$B$3:$C$14,2,0),BD!AB1)</f>
        <v>46042</v>
      </c>
      <c r="AB3" s="12">
        <f>DATE($D$1,VLOOKUP($C$1,BD!$B$3:$C$14,2,0),BD!AC1)</f>
        <v>46043</v>
      </c>
      <c r="AC3" s="12">
        <f>DATE($D$1,VLOOKUP($C$1,BD!$B$3:$C$14,2,0),BD!AD1)</f>
        <v>46044</v>
      </c>
      <c r="AD3" s="12">
        <f>DATE($D$1,VLOOKUP($C$1,BD!$B$3:$C$14,2,0),BD!AE1)</f>
        <v>46045</v>
      </c>
      <c r="AE3" s="12">
        <f>DATE($D$1,VLOOKUP($C$1,BD!$B$3:$C$14,2,0),BD!AF1)</f>
        <v>46046</v>
      </c>
      <c r="AF3" s="12">
        <f>DATE($D$1,VLOOKUP($C$1,BD!$B$3:$C$14,2,0),BD!AG1)</f>
        <v>46047</v>
      </c>
      <c r="AG3" s="12">
        <f>DATE($D$1,VLOOKUP($C$1,BD!$B$3:$C$14,2,0),BD!AH1)</f>
        <v>46048</v>
      </c>
      <c r="AH3" s="12">
        <f>DATE($D$1,VLOOKUP($C$1,BD!$B$3:$C$14,2,0),BD!AI1)</f>
        <v>46049</v>
      </c>
      <c r="AI3" s="12">
        <f>DATE($D$1,VLOOKUP($C$1,BD!$B$3:$C$14,2,0),BD!AJ1)</f>
        <v>46050</v>
      </c>
      <c r="AJ3" s="12">
        <f>DATE($D$1,VLOOKUP($C$1,BD!$B$3:$C$14,2,0),BD!AK1)</f>
        <v>46051</v>
      </c>
      <c r="AK3" s="12">
        <f>DATE($D$1,VLOOKUP($C$1,BD!$B$3:$C$14,2,0),BD!AL1)</f>
        <v>46052</v>
      </c>
      <c r="AL3" s="12">
        <f>DATE($D$1,VLOOKUP($C$1,BD!$B$3:$C$14,2,0),BD!AM1)</f>
        <v>46053</v>
      </c>
      <c r="AU3"/>
    </row>
    <row r="4" spans="1:77" s="5" customFormat="1" x14ac:dyDescent="0.35">
      <c r="A4" s="8" t="s">
        <v>65</v>
      </c>
      <c r="B4" s="8" t="s">
        <v>0</v>
      </c>
      <c r="C4" s="9" t="s">
        <v>66</v>
      </c>
      <c r="D4" s="10" t="s">
        <v>67</v>
      </c>
      <c r="E4" s="10" t="s">
        <v>1</v>
      </c>
      <c r="F4" s="10" t="s">
        <v>68</v>
      </c>
      <c r="G4" s="11" t="s">
        <v>2</v>
      </c>
      <c r="H4" s="10" t="s">
        <v>8</v>
      </c>
      <c r="I4" s="10" t="s">
        <v>9</v>
      </c>
      <c r="J4" s="10" t="s">
        <v>3</v>
      </c>
      <c r="K4" s="10" t="s">
        <v>4</v>
      </c>
      <c r="L4" s="10" t="s">
        <v>5</v>
      </c>
      <c r="M4" s="10" t="s">
        <v>6</v>
      </c>
      <c r="N4" s="10" t="s">
        <v>7</v>
      </c>
      <c r="O4" s="10" t="s">
        <v>8</v>
      </c>
      <c r="P4" s="10" t="s">
        <v>9</v>
      </c>
      <c r="Q4" s="10" t="s">
        <v>3</v>
      </c>
      <c r="R4" s="10" t="s">
        <v>4</v>
      </c>
      <c r="S4" s="10" t="s">
        <v>5</v>
      </c>
      <c r="T4" s="10" t="s">
        <v>6</v>
      </c>
      <c r="U4" s="10" t="s">
        <v>7</v>
      </c>
      <c r="V4" s="10" t="s">
        <v>8</v>
      </c>
      <c r="W4" s="10" t="s">
        <v>9</v>
      </c>
      <c r="X4" s="10" t="s">
        <v>3</v>
      </c>
      <c r="Y4" s="10" t="s">
        <v>4</v>
      </c>
      <c r="Z4" s="10" t="s">
        <v>5</v>
      </c>
      <c r="AA4" s="10" t="s">
        <v>6</v>
      </c>
      <c r="AB4" s="10" t="s">
        <v>7</v>
      </c>
      <c r="AC4" s="10" t="s">
        <v>8</v>
      </c>
      <c r="AD4" s="10" t="s">
        <v>9</v>
      </c>
      <c r="AE4" s="10" t="s">
        <v>3</v>
      </c>
      <c r="AF4" s="10" t="s">
        <v>4</v>
      </c>
      <c r="AG4" s="10" t="s">
        <v>5</v>
      </c>
      <c r="AH4" s="10" t="s">
        <v>6</v>
      </c>
      <c r="AI4" s="10" t="s">
        <v>7</v>
      </c>
      <c r="AJ4" s="10" t="s">
        <v>8</v>
      </c>
      <c r="AK4" s="10" t="s">
        <v>9</v>
      </c>
      <c r="AL4" s="10" t="s">
        <v>3</v>
      </c>
      <c r="AM4" s="6"/>
      <c r="AN4" s="10" t="s">
        <v>10</v>
      </c>
      <c r="AO4" s="6"/>
      <c r="AP4" s="11" t="s">
        <v>28</v>
      </c>
      <c r="AQ4" s="13" t="s">
        <v>29</v>
      </c>
      <c r="AR4" s="10" t="s">
        <v>30</v>
      </c>
      <c r="AS4" s="10" t="s">
        <v>31</v>
      </c>
      <c r="AT4" s="13" t="s">
        <v>32</v>
      </c>
      <c r="AU4"/>
      <c r="AV4" s="13" t="s">
        <v>11</v>
      </c>
      <c r="AW4" s="10" t="s">
        <v>12</v>
      </c>
      <c r="AX4" s="10" t="s">
        <v>13</v>
      </c>
      <c r="AY4"/>
      <c r="AZ4" s="10" t="s">
        <v>23</v>
      </c>
      <c r="BA4" s="10" t="s">
        <v>24</v>
      </c>
      <c r="BB4" s="10" t="s">
        <v>25</v>
      </c>
      <c r="BC4" s="10" t="s">
        <v>26</v>
      </c>
      <c r="BD4" s="20" t="s">
        <v>27</v>
      </c>
      <c r="BE4" s="10" t="s">
        <v>20</v>
      </c>
      <c r="BF4"/>
      <c r="BG4" s="10" t="s">
        <v>11</v>
      </c>
      <c r="BH4" s="10" t="s">
        <v>12</v>
      </c>
      <c r="BI4" s="10" t="s">
        <v>13</v>
      </c>
      <c r="BK4" s="10" t="s">
        <v>22</v>
      </c>
      <c r="BM4" s="10" t="s">
        <v>20</v>
      </c>
      <c r="BN4" s="10" t="s">
        <v>21</v>
      </c>
      <c r="BO4"/>
      <c r="BP4" s="10" t="s">
        <v>14</v>
      </c>
      <c r="BQ4" s="10" t="s">
        <v>15</v>
      </c>
      <c r="BR4" s="10" t="s">
        <v>16</v>
      </c>
      <c r="BT4" s="10" t="s">
        <v>17</v>
      </c>
      <c r="BU4" s="10" t="s">
        <v>18</v>
      </c>
      <c r="BV4" s="10" t="s">
        <v>19</v>
      </c>
      <c r="BW4"/>
      <c r="BX4" s="10" t="s">
        <v>49</v>
      </c>
      <c r="BY4" s="10" t="s">
        <v>50</v>
      </c>
    </row>
    <row r="5" spans="1:77" x14ac:dyDescent="0.35">
      <c r="AU5"/>
    </row>
    <row r="6" spans="1:77" x14ac:dyDescent="0.35">
      <c r="AU6"/>
    </row>
    <row r="7" spans="1:77" x14ac:dyDescent="0.35">
      <c r="AU7"/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C20928-4CDE-4955-B895-5FA2410BF5DC}">
  <sheetPr codeName="Planilha2"/>
  <dimension ref="B1:AM14"/>
  <sheetViews>
    <sheetView workbookViewId="0">
      <selection activeCell="F11" sqref="F11"/>
    </sheetView>
  </sheetViews>
  <sheetFormatPr defaultRowHeight="14.5" x14ac:dyDescent="0.35"/>
  <cols>
    <col min="2" max="2" width="9.1796875" bestFit="1" customWidth="1"/>
  </cols>
  <sheetData>
    <row r="1" spans="2:39" x14ac:dyDescent="0.35">
      <c r="H1" t="s">
        <v>47</v>
      </c>
      <c r="I1">
        <v>1</v>
      </c>
      <c r="J1">
        <v>2</v>
      </c>
      <c r="K1">
        <v>3</v>
      </c>
      <c r="L1">
        <v>4</v>
      </c>
      <c r="M1">
        <v>5</v>
      </c>
      <c r="N1">
        <v>6</v>
      </c>
      <c r="O1">
        <v>7</v>
      </c>
      <c r="P1">
        <v>8</v>
      </c>
      <c r="Q1">
        <v>9</v>
      </c>
      <c r="R1">
        <v>10</v>
      </c>
      <c r="S1">
        <v>11</v>
      </c>
      <c r="T1">
        <v>12</v>
      </c>
      <c r="U1">
        <v>13</v>
      </c>
      <c r="V1">
        <v>14</v>
      </c>
      <c r="W1">
        <v>15</v>
      </c>
      <c r="X1">
        <v>16</v>
      </c>
      <c r="Y1">
        <v>17</v>
      </c>
      <c r="Z1">
        <v>18</v>
      </c>
      <c r="AA1">
        <v>19</v>
      </c>
      <c r="AB1">
        <v>20</v>
      </c>
      <c r="AC1">
        <v>21</v>
      </c>
      <c r="AD1">
        <v>22</v>
      </c>
      <c r="AE1">
        <v>23</v>
      </c>
      <c r="AF1">
        <v>24</v>
      </c>
      <c r="AG1">
        <v>25</v>
      </c>
      <c r="AH1">
        <v>26</v>
      </c>
      <c r="AI1">
        <v>27</v>
      </c>
      <c r="AJ1">
        <v>28</v>
      </c>
      <c r="AK1">
        <v>29</v>
      </c>
      <c r="AL1">
        <v>30</v>
      </c>
      <c r="AM1">
        <v>31</v>
      </c>
    </row>
    <row r="2" spans="2:39" x14ac:dyDescent="0.35">
      <c r="B2" t="s">
        <v>33</v>
      </c>
      <c r="E2" t="s">
        <v>48</v>
      </c>
    </row>
    <row r="3" spans="2:39" x14ac:dyDescent="0.35">
      <c r="B3" t="s">
        <v>34</v>
      </c>
      <c r="C3">
        <v>1</v>
      </c>
      <c r="E3">
        <v>1</v>
      </c>
      <c r="F3" t="s">
        <v>6</v>
      </c>
    </row>
    <row r="4" spans="2:39" x14ac:dyDescent="0.35">
      <c r="B4" t="s">
        <v>35</v>
      </c>
      <c r="C4">
        <v>2</v>
      </c>
      <c r="E4">
        <v>2</v>
      </c>
      <c r="F4" t="s">
        <v>7</v>
      </c>
    </row>
    <row r="5" spans="2:39" x14ac:dyDescent="0.35">
      <c r="B5" t="s">
        <v>36</v>
      </c>
      <c r="C5">
        <v>3</v>
      </c>
      <c r="E5">
        <v>3</v>
      </c>
      <c r="F5" t="s">
        <v>8</v>
      </c>
    </row>
    <row r="6" spans="2:39" x14ac:dyDescent="0.35">
      <c r="B6" t="s">
        <v>37</v>
      </c>
      <c r="C6">
        <v>4</v>
      </c>
      <c r="E6">
        <v>4</v>
      </c>
      <c r="F6" t="s">
        <v>9</v>
      </c>
    </row>
    <row r="7" spans="2:39" x14ac:dyDescent="0.35">
      <c r="B7" t="s">
        <v>38</v>
      </c>
      <c r="C7">
        <v>5</v>
      </c>
      <c r="E7">
        <v>5</v>
      </c>
      <c r="F7" t="s">
        <v>3</v>
      </c>
    </row>
    <row r="8" spans="2:39" x14ac:dyDescent="0.35">
      <c r="B8" t="s">
        <v>39</v>
      </c>
      <c r="C8">
        <v>6</v>
      </c>
      <c r="E8">
        <v>6</v>
      </c>
      <c r="F8" t="s">
        <v>4</v>
      </c>
    </row>
    <row r="9" spans="2:39" x14ac:dyDescent="0.35">
      <c r="B9" t="s">
        <v>40</v>
      </c>
      <c r="C9">
        <v>7</v>
      </c>
      <c r="E9">
        <v>7</v>
      </c>
      <c r="F9" t="s">
        <v>5</v>
      </c>
    </row>
    <row r="10" spans="2:39" x14ac:dyDescent="0.35">
      <c r="B10" t="s">
        <v>41</v>
      </c>
      <c r="C10">
        <v>8</v>
      </c>
    </row>
    <row r="11" spans="2:39" x14ac:dyDescent="0.35">
      <c r="B11" t="s">
        <v>42</v>
      </c>
      <c r="C11">
        <v>9</v>
      </c>
    </row>
    <row r="12" spans="2:39" x14ac:dyDescent="0.35">
      <c r="B12" t="s">
        <v>43</v>
      </c>
      <c r="C12">
        <v>10</v>
      </c>
    </row>
    <row r="13" spans="2:39" x14ac:dyDescent="0.35">
      <c r="B13" t="s">
        <v>44</v>
      </c>
      <c r="C13">
        <v>11</v>
      </c>
    </row>
    <row r="14" spans="2:39" x14ac:dyDescent="0.35">
      <c r="B14" t="s">
        <v>45</v>
      </c>
      <c r="C14">
        <v>12</v>
      </c>
    </row>
  </sheetData>
  <phoneticPr fontId="2" type="noConversion"/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FCE56D81BB33E418AA3D8B7DCE8B29A" ma:contentTypeVersion="15" ma:contentTypeDescription="Crie um novo documento." ma:contentTypeScope="" ma:versionID="1a17cd7183de8989d3dfa6442eaffbc1">
  <xsd:schema xmlns:xsd="http://www.w3.org/2001/XMLSchema" xmlns:xs="http://www.w3.org/2001/XMLSchema" xmlns:p="http://schemas.microsoft.com/office/2006/metadata/properties" xmlns:ns2="89f83c16-d596-4cd5-975b-760d32e933dd" xmlns:ns3="fd854fd9-3bc0-4c8e-9b9f-eee322a02584" targetNamespace="http://schemas.microsoft.com/office/2006/metadata/properties" ma:root="true" ma:fieldsID="8f941c79b647438e45b8b01b84998fe2" ns2:_="" ns3:_="">
    <xsd:import namespace="89f83c16-d596-4cd5-975b-760d32e933dd"/>
    <xsd:import namespace="fd854fd9-3bc0-4c8e-9b9f-eee322a0258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ObjectDetectorVersions" minOccurs="0"/>
                <xsd:element ref="ns2:MediaServiceSearchProperties" minOccurs="0"/>
                <xsd:element ref="ns2:MediaServiceDateTaken" minOccurs="0"/>
                <xsd:element ref="ns2:MediaLengthInSeconds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9f83c16-d596-4cd5-975b-760d32e933d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3" nillable="true" ma:taxonomy="true" ma:internalName="lcf76f155ced4ddcb4097134ff3c332f" ma:taxonomyFieldName="MediaServiceImageTags" ma:displayName="Marcações de imagem" ma:readOnly="false" ma:fieldId="{5cf76f15-5ced-4ddc-b409-7134ff3c332f}" ma:taxonomyMulti="true" ma:sspId="844cadc1-d5e4-4eb4-b9ce-faf2414b0e99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9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20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1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2" nillable="true" ma:displayName="Location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854fd9-3bc0-4c8e-9b9f-eee322a02584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  <xsd:element name="TaxCatchAll" ma:index="14" nillable="true" ma:displayName="Taxonomy Catch All Column" ma:hidden="true" ma:list="{66cd1b41-899a-4cd7-8bf3-9a4937a3ca02}" ma:internalName="TaxCatchAll" ma:showField="CatchAllData" ma:web="fd854fd9-3bc0-4c8e-9b9f-eee322a02584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fd854fd9-3bc0-4c8e-9b9f-eee322a02584" xsi:nil="true"/>
    <lcf76f155ced4ddcb4097134ff3c332f xmlns="89f83c16-d596-4cd5-975b-760d32e933dd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845BCA48-157B-4AF1-8B13-AE38BDC05D3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2587542-5211-4493-9AA6-851E9D60E30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9f83c16-d596-4cd5-975b-760d32e933dd"/>
    <ds:schemaRef ds:uri="fd854fd9-3bc0-4c8e-9b9f-eee322a0258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A7DE4121-075F-4D07-90B2-30A5A94CAA32}">
  <ds:schemaRefs>
    <ds:schemaRef ds:uri="http://schemas.microsoft.com/office/2006/metadata/properties"/>
    <ds:schemaRef ds:uri="http://schemas.microsoft.com/office/infopath/2007/PartnerControls"/>
    <ds:schemaRef ds:uri="fd854fd9-3bc0-4c8e-9b9f-eee322a02584"/>
    <ds:schemaRef ds:uri="89f83c16-d596-4cd5-975b-760d32e933d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Painel</vt:lpstr>
      <vt:lpstr>Compilado</vt:lpstr>
      <vt:lpstr>BD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Juliana Lucia Prates dos Santos</dc:creator>
  <cp:lastModifiedBy>Juliana Lucia Prates dos Santos</cp:lastModifiedBy>
  <dcterms:created xsi:type="dcterms:W3CDTF">2025-04-24T14:33:39Z</dcterms:created>
  <dcterms:modified xsi:type="dcterms:W3CDTF">2026-05-28T19:42:40Z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0x0101008FCE56D81BB33E418AA3D8B7DCE8B29A</vt:lpwstr>
  </property>
  <property fmtid="{D5CDD505-2E9C-101B-9397-08002B2CF9AE}" pid="3" name="MediaServiceImageTags">
    <vt:lpwstr/>
  </property>
  <property fmtid="{D5CDD505-2E9C-101B-9397-08002B2CF9AE}" pid="4" name="MSIP_Label_56723153-0fe2-4a4e-8a05-a12f5f8e7788_Enabled">
    <vt:lpwstr>true</vt:lpwstr>
  </property>
  <property fmtid="{D5CDD505-2E9C-101B-9397-08002B2CF9AE}" pid="5" name="MSIP_Label_56723153-0fe2-4a4e-8a05-a12f5f8e7788_SetDate">
    <vt:lpwstr>2025-05-22T16:44:45Z</vt:lpwstr>
  </property>
  <property fmtid="{D5CDD505-2E9C-101B-9397-08002B2CF9AE}" pid="6" name="MSIP_Label_56723153-0fe2-4a4e-8a05-a12f5f8e7788_Method">
    <vt:lpwstr>Privileged</vt:lpwstr>
  </property>
  <property fmtid="{D5CDD505-2E9C-101B-9397-08002B2CF9AE}" pid="7" name="MSIP_Label_56723153-0fe2-4a4e-8a05-a12f5f8e7788_Name">
    <vt:lpwstr>DataRiskCheck-AutoDiscoveryLabel</vt:lpwstr>
  </property>
  <property fmtid="{D5CDD505-2E9C-101B-9397-08002B2CF9AE}" pid="8" name="MSIP_Label_56723153-0fe2-4a4e-8a05-a12f5f8e7788_SiteId">
    <vt:lpwstr>60fd783c-fa48-4af7-9416-f06a227cadf6</vt:lpwstr>
  </property>
  <property fmtid="{D5CDD505-2E9C-101B-9397-08002B2CF9AE}" pid="9" name="MSIP_Label_56723153-0fe2-4a4e-8a05-a12f5f8e7788_ActionId">
    <vt:lpwstr>b8b9029a-1ccb-40d1-a485-6cea6327cbef</vt:lpwstr>
  </property>
  <property fmtid="{D5CDD505-2E9C-101B-9397-08002B2CF9AE}" pid="10" name="MSIP_Label_56723153-0fe2-4a4e-8a05-a12f5f8e7788_ContentBits">
    <vt:lpwstr>0</vt:lpwstr>
  </property>
  <property fmtid="{D5CDD505-2E9C-101B-9397-08002B2CF9AE}" pid="11" name="MSIP_Label_56723153-0fe2-4a4e-8a05-a12f5f8e7788_Tag">
    <vt:lpwstr>10, 0, 1, 1</vt:lpwstr>
  </property>
</Properties>
</file>